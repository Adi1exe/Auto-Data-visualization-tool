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25" windowHeight="76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<sst xmlns="http://schemas.openxmlformats.org/spreadsheetml/2006/main" count="204" uniqueCount="62">
  <si>
    <r>
      <rPr>
        <sz val="14"/>
        <color rgb="FF000000"/>
        <rFont val="Calibri"/>
        <charset val="134"/>
      </rPr>
      <t>नाव</t>
    </r>
  </si>
  <si>
    <t>मराठी</t>
  </si>
  <si>
    <t>इंग्रजी</t>
  </si>
  <si>
    <t>अर्थशास्त्र</t>
  </si>
  <si>
    <t>इतिहास</t>
  </si>
  <si>
    <t>GEOGREPHT</t>
  </si>
  <si>
    <t>POLITICS</t>
  </si>
  <si>
    <t>एकूण गुण</t>
  </si>
  <si>
    <t>शेकडा गुण</t>
  </si>
  <si>
    <t>गुणानुक्रमांक</t>
  </si>
  <si>
    <t>पात्र/ अपात्र</t>
  </si>
  <si>
    <r>
      <rPr>
        <sz val="11"/>
        <color rgb="FF000000"/>
        <rFont val="Calibri"/>
        <charset val="134"/>
      </rPr>
      <t>कु.</t>
    </r>
  </si>
  <si>
    <r>
      <rPr>
        <sz val="11"/>
        <color rgb="FF000000"/>
        <rFont val="Arial"/>
        <charset val="134"/>
      </rPr>
      <t xml:space="preserve"> बचाटे सोनाली बापूराव</t>
    </r>
  </si>
  <si>
    <t>PASS</t>
  </si>
  <si>
    <r>
      <rPr>
        <sz val="11"/>
        <color rgb="FF000000"/>
        <rFont val="Arial"/>
        <charset val="134"/>
      </rPr>
      <t>ढाल मारे प्रतिक्षा दत्ता</t>
    </r>
  </si>
  <si>
    <t>AB</t>
  </si>
  <si>
    <t>F6</t>
  </si>
  <si>
    <r>
      <rPr>
        <sz val="11"/>
        <color rgb="FF000000"/>
        <rFont val="Arial"/>
        <charset val="134"/>
      </rPr>
      <t>ढेंगळे सुवर्णा महादू</t>
    </r>
  </si>
  <si>
    <r>
      <rPr>
        <sz val="11"/>
        <color rgb="FF000000"/>
        <rFont val="Arial"/>
        <charset val="134"/>
      </rPr>
      <t>विश्वा भारत जाधव</t>
    </r>
  </si>
  <si>
    <r>
      <rPr>
        <sz val="11"/>
        <color rgb="FF000000"/>
        <rFont val="Arial"/>
        <charset val="134"/>
      </rPr>
      <t>कळके वैष्णवी तुकाराम</t>
    </r>
  </si>
  <si>
    <r>
      <rPr>
        <sz val="11"/>
        <color rgb="FF000000"/>
        <rFont val="Arial"/>
        <charset val="134"/>
      </rPr>
      <t>कनगरे निकिता लक्ष्मण</t>
    </r>
  </si>
  <si>
    <r>
      <rPr>
        <sz val="11"/>
        <color rgb="FF000000"/>
        <rFont val="Arial"/>
        <charset val="134"/>
      </rPr>
      <t>कसबे तृप्ती सतीश</t>
    </r>
  </si>
  <si>
    <r>
      <rPr>
        <sz val="11"/>
        <color rgb="FF000000"/>
        <rFont val="Arial"/>
        <charset val="134"/>
      </rPr>
      <t>कांबळे निकिता वसंत</t>
    </r>
  </si>
  <si>
    <r>
      <rPr>
        <sz val="11"/>
        <color rgb="FF000000"/>
        <rFont val="Arial"/>
        <charset val="134"/>
      </rPr>
      <t>लांडे योगिता बाळू</t>
    </r>
  </si>
  <si>
    <t>F2</t>
  </si>
  <si>
    <r>
      <rPr>
        <sz val="11"/>
        <color rgb="FF000000"/>
        <rFont val="Arial"/>
        <charset val="134"/>
      </rPr>
      <t>महातो दिव्या संदीप</t>
    </r>
  </si>
  <si>
    <r>
      <rPr>
        <sz val="11"/>
        <color rgb="FF000000"/>
        <rFont val="Arial"/>
        <charset val="134"/>
      </rPr>
      <t>माने आनन्या प्रमोद</t>
    </r>
  </si>
  <si>
    <r>
      <rPr>
        <sz val="11"/>
        <color rgb="FF000000"/>
        <rFont val="Arial"/>
        <charset val="134"/>
      </rPr>
      <t>मोसे तनुजा राजेंद्र</t>
    </r>
  </si>
  <si>
    <r>
      <rPr>
        <sz val="11"/>
        <color rgb="FF000000"/>
        <rFont val="Arial"/>
        <charset val="134"/>
      </rPr>
      <t>पवार रेणुका गोरखनाथ</t>
    </r>
  </si>
  <si>
    <r>
      <rPr>
        <sz val="11"/>
        <color rgb="FF000000"/>
        <rFont val="Arial"/>
        <charset val="134"/>
      </rPr>
      <t>ससाने पायल कैलास</t>
    </r>
  </si>
  <si>
    <r>
      <rPr>
        <sz val="11"/>
        <color rgb="FF000000"/>
        <rFont val="Arial"/>
        <charset val="134"/>
      </rPr>
      <t>कु.साळवी दर्शना संदीप</t>
    </r>
  </si>
  <si>
    <r>
      <rPr>
        <sz val="11"/>
        <color rgb="FF000000"/>
        <rFont val="Arial"/>
        <charset val="134"/>
      </rPr>
      <t>शेटे प्रतीक्षा अंगद</t>
    </r>
  </si>
  <si>
    <r>
      <rPr>
        <sz val="11"/>
        <color rgb="FF000000"/>
        <rFont val="Arial"/>
        <charset val="134"/>
      </rPr>
      <t>शिंदे रवीना विनोद</t>
    </r>
  </si>
  <si>
    <r>
      <rPr>
        <sz val="11"/>
        <color rgb="FF000000"/>
        <rFont val="Arial"/>
        <charset val="134"/>
      </rPr>
      <t>वाघमारे निहारिका अनिल</t>
    </r>
  </si>
  <si>
    <r>
      <rPr>
        <sz val="11"/>
        <color rgb="FF000000"/>
        <rFont val="Arial"/>
        <charset val="134"/>
      </rPr>
      <t>उजगरे आश्लेषा अंबादास</t>
    </r>
  </si>
  <si>
    <r>
      <rPr>
        <sz val="11"/>
        <color rgb="FF000000"/>
        <rFont val="Arial"/>
        <charset val="134"/>
      </rPr>
      <t>अन्सारी आमिर अजीज</t>
    </r>
  </si>
  <si>
    <r>
      <rPr>
        <sz val="11"/>
        <color rgb="FF000000"/>
        <rFont val="Arial"/>
        <charset val="134"/>
      </rPr>
      <t>आवटी शादाब आयुब</t>
    </r>
  </si>
  <si>
    <r>
      <rPr>
        <sz val="11"/>
        <color rgb="FF000000"/>
        <rFont val="Arial"/>
        <charset val="134"/>
      </rPr>
      <t>गाडे रामा भिवा</t>
    </r>
  </si>
  <si>
    <r>
      <rPr>
        <sz val="11"/>
        <color rgb="FF000000"/>
        <rFont val="Arial"/>
        <charset val="134"/>
      </rPr>
      <t>गायकवाड आशिष संजय</t>
    </r>
  </si>
  <si>
    <r>
      <rPr>
        <sz val="11"/>
        <color rgb="FF000000"/>
        <rFont val="Arial"/>
        <charset val="134"/>
      </rPr>
      <t>गायकवाड साहिल संदीप</t>
    </r>
  </si>
  <si>
    <r>
      <rPr>
        <sz val="11"/>
        <color rgb="FF000000"/>
        <rFont val="Arial"/>
        <charset val="134"/>
      </rPr>
      <t>गायकवाड शारॉन संतोष</t>
    </r>
  </si>
  <si>
    <r>
      <rPr>
        <sz val="11"/>
        <color rgb="FF000000"/>
        <rFont val="Arial"/>
        <charset val="134"/>
      </rPr>
      <t>गायकवाड विशाल अशोक</t>
    </r>
  </si>
  <si>
    <t>F4</t>
  </si>
  <si>
    <r>
      <rPr>
        <sz val="11"/>
        <color rgb="FF000000"/>
        <rFont val="Arial"/>
        <charset val="134"/>
      </rPr>
      <t>गावडे स्वप्नील बापूराव</t>
    </r>
  </si>
  <si>
    <r>
      <rPr>
        <sz val="11"/>
        <color rgb="FF000000"/>
        <rFont val="Arial"/>
        <charset val="134"/>
      </rPr>
      <t>गौर तन्मय महेंद्रसिंग</t>
    </r>
  </si>
  <si>
    <r>
      <rPr>
        <sz val="11"/>
        <color rgb="FF000000"/>
        <rFont val="Arial"/>
        <charset val="134"/>
      </rPr>
      <t>जगताप आदित्य रामदास</t>
    </r>
  </si>
  <si>
    <r>
      <rPr>
        <sz val="11"/>
        <color rgb="FF000000"/>
        <rFont val="Arial"/>
        <charset val="134"/>
      </rPr>
      <t>जाधव श्रीकांत बालाजी</t>
    </r>
  </si>
  <si>
    <r>
      <rPr>
        <sz val="11"/>
        <color rgb="FF000000"/>
        <rFont val="Arial"/>
        <charset val="134"/>
      </rPr>
      <t>जाधव रायबा अशोक</t>
    </r>
  </si>
  <si>
    <r>
      <rPr>
        <sz val="11"/>
        <color rgb="FF000000"/>
        <rFont val="Arial"/>
        <charset val="134"/>
      </rPr>
      <t>कांबळे गजानन राजेंद्र</t>
    </r>
  </si>
  <si>
    <r>
      <rPr>
        <sz val="11"/>
        <color rgb="FF000000"/>
        <rFont val="Arial"/>
        <charset val="134"/>
      </rPr>
      <t>कांबळे राहुल संदीप</t>
    </r>
  </si>
  <si>
    <r>
      <rPr>
        <sz val="11"/>
        <color rgb="FF000000"/>
        <rFont val="Arial"/>
        <charset val="134"/>
      </rPr>
      <t>माने कृष्णा मिलिंद</t>
    </r>
  </si>
  <si>
    <r>
      <rPr>
        <sz val="11"/>
        <color rgb="FF000000"/>
        <rFont val="Arial"/>
        <charset val="134"/>
      </rPr>
      <t>नागणे तानाजी राम</t>
    </r>
  </si>
  <si>
    <r>
      <rPr>
        <sz val="11"/>
        <color rgb="FF000000"/>
        <rFont val="Arial"/>
        <charset val="134"/>
      </rPr>
      <t>पाटील श्रीकृष्ण आनंत</t>
    </r>
  </si>
  <si>
    <r>
      <rPr>
        <sz val="11"/>
        <color rgb="FF000000"/>
        <rFont val="Arial"/>
        <charset val="134"/>
      </rPr>
      <t>साने साहिल संतोष</t>
    </r>
  </si>
  <si>
    <r>
      <rPr>
        <sz val="11"/>
        <color rgb="FF000000"/>
        <rFont val="Arial"/>
        <charset val="134"/>
      </rPr>
      <t>शेख जमीर रमजान</t>
    </r>
  </si>
  <si>
    <r>
      <rPr>
        <sz val="11"/>
        <color rgb="FF000000"/>
        <rFont val="Arial"/>
        <charset val="134"/>
      </rPr>
      <t>शिंदे आदेश अजमेर</t>
    </r>
  </si>
  <si>
    <r>
      <rPr>
        <sz val="11"/>
        <color rgb="FF000000"/>
        <rFont val="Arial"/>
        <charset val="134"/>
      </rPr>
      <t>शिंदे सुशांत राजू</t>
    </r>
  </si>
  <si>
    <r>
      <rPr>
        <sz val="11"/>
        <color rgb="FF000000"/>
        <rFont val="Arial"/>
        <charset val="134"/>
      </rPr>
      <t>क्षीरसागर अजय मोहन</t>
    </r>
  </si>
  <si>
    <r>
      <rPr>
        <sz val="11"/>
        <color rgb="FF000000"/>
        <rFont val="Arial"/>
        <charset val="134"/>
      </rPr>
      <t>तापकीर शिवराज राहुल</t>
    </r>
  </si>
  <si>
    <r>
      <rPr>
        <sz val="11"/>
        <color rgb="FF000000"/>
        <rFont val="Arial"/>
        <charset val="134"/>
      </rPr>
      <t>तिवारी दीपक शंभू</t>
    </r>
  </si>
  <si>
    <r>
      <rPr>
        <sz val="11"/>
        <color rgb="FF000000"/>
        <rFont val="Arial"/>
        <charset val="134"/>
      </rPr>
      <t>विश्वकर्मा गणेश प्रभु नारायण</t>
    </r>
  </si>
  <si>
    <r>
      <rPr>
        <sz val="11"/>
        <color rgb="FF000000"/>
        <rFont val="Arial"/>
        <charset val="134"/>
      </rPr>
      <t>विश्वकर्मा महेश सुभाष</t>
    </r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</si>
</sst>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6">
    <font>
      <sz val="11"/>
      <name val="Arial"/>
      <charset val="134"/>
    </font>
    <font>
      <sz val="14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sz val="12"/>
      <color rgb="FF000000"/>
      <name val="Calibri"/>
      <charset val="134"/>
    </font>
    <font>
      <sz val="14"/>
      <name val="Arial"/>
      <charset val="134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17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5" borderId="6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center" wrapText="1"/>
    </xf>
    <xf numFmtId="0" fontId="1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workbookViewId="0">
      <selection activeCell="N13" sqref="N13"/>
    </sheetView>
  </sheetViews>
  <sheetFormatPr defaultColWidth="10" defaultRowHeight="14.25"/>
  <cols>
    <col min="1" max="1" width="6.81666666666667" customWidth="1"/>
    <col min="2" max="2" width="19.1916666666667" customWidth="1"/>
    <col min="10" max="10" width="12.625"/>
  </cols>
  <sheetData>
    <row r="1" ht="20.25" spans="1:12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8.75" spans="1:12">
      <c r="A2" s="4" t="s">
        <v>11</v>
      </c>
      <c r="B2" s="5" t="s">
        <v>12</v>
      </c>
      <c r="C2" s="3">
        <v>45</v>
      </c>
      <c r="D2" s="3">
        <v>36</v>
      </c>
      <c r="E2" s="6">
        <v>39</v>
      </c>
      <c r="F2" s="7">
        <v>55</v>
      </c>
      <c r="G2" s="3">
        <v>36</v>
      </c>
      <c r="H2" s="3">
        <v>45</v>
      </c>
      <c r="I2" s="10">
        <f>SUM(C2:H2)</f>
        <v>256</v>
      </c>
      <c r="J2" s="11">
        <f>AVERAGE(I2/6)</f>
        <v>42.6666666666667</v>
      </c>
      <c r="K2" s="12">
        <f>RANK(J2,$J$2:$J$46)</f>
        <v>14</v>
      </c>
      <c r="L2" s="3" t="s">
        <v>13</v>
      </c>
    </row>
    <row r="3" ht="18.75" spans="1:12">
      <c r="A3" s="4" t="s">
        <v>11</v>
      </c>
      <c r="B3" s="5" t="s">
        <v>14</v>
      </c>
      <c r="C3" s="3" t="s">
        <v>15</v>
      </c>
      <c r="D3" s="3" t="s">
        <v>15</v>
      </c>
      <c r="E3" s="8" t="s">
        <v>15</v>
      </c>
      <c r="F3" s="7" t="s">
        <v>15</v>
      </c>
      <c r="G3" s="3" t="s">
        <v>15</v>
      </c>
      <c r="H3" s="3" t="s">
        <v>15</v>
      </c>
      <c r="I3" s="10">
        <f t="shared" ref="I3:I16" si="0">SUM(C3:H3)</f>
        <v>0</v>
      </c>
      <c r="J3" s="11">
        <f t="shared" ref="J3:J12" si="1">AVERAGE(I3/6)</f>
        <v>0</v>
      </c>
      <c r="K3" s="12">
        <f t="shared" ref="K3:K46" si="2">RANK(J3,$J$2:$J$46)</f>
        <v>38</v>
      </c>
      <c r="L3" s="3" t="s">
        <v>16</v>
      </c>
    </row>
    <row r="4" ht="18.75" spans="1:12">
      <c r="A4" s="4" t="s">
        <v>11</v>
      </c>
      <c r="B4" s="5" t="s">
        <v>17</v>
      </c>
      <c r="C4" s="3">
        <v>60</v>
      </c>
      <c r="D4" s="3">
        <v>45</v>
      </c>
      <c r="E4" s="6">
        <v>60</v>
      </c>
      <c r="F4" s="7">
        <v>69</v>
      </c>
      <c r="G4" s="3">
        <v>45</v>
      </c>
      <c r="H4" s="3">
        <v>60</v>
      </c>
      <c r="I4" s="10">
        <f t="shared" si="0"/>
        <v>339</v>
      </c>
      <c r="J4" s="11">
        <f t="shared" si="1"/>
        <v>56.5</v>
      </c>
      <c r="K4" s="12">
        <f t="shared" si="2"/>
        <v>2</v>
      </c>
      <c r="L4" s="3" t="s">
        <v>13</v>
      </c>
    </row>
    <row r="5" ht="18.75" spans="1:12">
      <c r="A5" s="4" t="s">
        <v>11</v>
      </c>
      <c r="B5" s="5" t="s">
        <v>18</v>
      </c>
      <c r="C5" s="3">
        <v>75</v>
      </c>
      <c r="D5" s="3">
        <v>60</v>
      </c>
      <c r="E5" s="8">
        <v>75</v>
      </c>
      <c r="F5" s="7">
        <v>75</v>
      </c>
      <c r="G5" s="3">
        <v>60</v>
      </c>
      <c r="H5" s="3">
        <v>75</v>
      </c>
      <c r="I5" s="10">
        <f t="shared" si="0"/>
        <v>420</v>
      </c>
      <c r="J5" s="11">
        <f t="shared" si="1"/>
        <v>70</v>
      </c>
      <c r="K5" s="12">
        <f t="shared" si="2"/>
        <v>1</v>
      </c>
      <c r="L5" s="3" t="s">
        <v>13</v>
      </c>
    </row>
    <row r="6" ht="18.75" spans="1:12">
      <c r="A6" s="4" t="s">
        <v>11</v>
      </c>
      <c r="B6" s="5" t="s">
        <v>19</v>
      </c>
      <c r="C6" s="3">
        <v>40</v>
      </c>
      <c r="D6" s="3">
        <v>36</v>
      </c>
      <c r="E6" s="6">
        <v>40</v>
      </c>
      <c r="F6" s="7">
        <v>38</v>
      </c>
      <c r="G6" s="3">
        <v>36</v>
      </c>
      <c r="H6" s="3">
        <v>40</v>
      </c>
      <c r="I6" s="10">
        <f t="shared" si="0"/>
        <v>230</v>
      </c>
      <c r="J6" s="11">
        <f t="shared" si="1"/>
        <v>38.3333333333333</v>
      </c>
      <c r="K6" s="12">
        <f t="shared" si="2"/>
        <v>24</v>
      </c>
      <c r="L6" s="3" t="s">
        <v>13</v>
      </c>
    </row>
    <row r="7" ht="18.75" spans="1:12">
      <c r="A7" s="4" t="s">
        <v>11</v>
      </c>
      <c r="B7" s="5" t="s">
        <v>20</v>
      </c>
      <c r="C7" s="3">
        <v>45</v>
      </c>
      <c r="D7" s="3">
        <v>41</v>
      </c>
      <c r="E7" s="6">
        <v>45</v>
      </c>
      <c r="F7" s="7">
        <v>39</v>
      </c>
      <c r="G7" s="3">
        <v>41</v>
      </c>
      <c r="H7" s="3">
        <v>45</v>
      </c>
      <c r="I7" s="10">
        <f t="shared" si="0"/>
        <v>256</v>
      </c>
      <c r="J7" s="11">
        <f t="shared" si="1"/>
        <v>42.6666666666667</v>
      </c>
      <c r="K7" s="12">
        <f t="shared" si="2"/>
        <v>14</v>
      </c>
      <c r="L7" s="3" t="s">
        <v>13</v>
      </c>
    </row>
    <row r="8" ht="18.75" spans="1:12">
      <c r="A8" s="4" t="s">
        <v>11</v>
      </c>
      <c r="B8" s="5" t="s">
        <v>21</v>
      </c>
      <c r="C8" s="3">
        <v>40</v>
      </c>
      <c r="D8" s="3">
        <v>42</v>
      </c>
      <c r="E8" s="6">
        <v>40</v>
      </c>
      <c r="F8" s="7">
        <v>54</v>
      </c>
      <c r="G8" s="3">
        <v>42</v>
      </c>
      <c r="H8" s="3">
        <v>40</v>
      </c>
      <c r="I8" s="10">
        <f t="shared" si="0"/>
        <v>258</v>
      </c>
      <c r="J8" s="11">
        <f t="shared" si="1"/>
        <v>43</v>
      </c>
      <c r="K8" s="12">
        <f t="shared" si="2"/>
        <v>12</v>
      </c>
      <c r="L8" s="3" t="s">
        <v>13</v>
      </c>
    </row>
    <row r="9" ht="18.75" spans="1:12">
      <c r="A9" s="4" t="s">
        <v>11</v>
      </c>
      <c r="B9" s="5" t="s">
        <v>22</v>
      </c>
      <c r="C9" s="3">
        <v>55</v>
      </c>
      <c r="D9" s="3">
        <v>40</v>
      </c>
      <c r="E9" s="6">
        <v>45</v>
      </c>
      <c r="F9" s="7">
        <v>45</v>
      </c>
      <c r="G9" s="3">
        <v>40</v>
      </c>
      <c r="H9" s="3">
        <v>55</v>
      </c>
      <c r="I9" s="10">
        <f t="shared" si="0"/>
        <v>280</v>
      </c>
      <c r="J9" s="11">
        <f t="shared" si="1"/>
        <v>46.6666666666667</v>
      </c>
      <c r="K9" s="12">
        <f t="shared" si="2"/>
        <v>7</v>
      </c>
      <c r="L9" s="3" t="s">
        <v>13</v>
      </c>
    </row>
    <row r="10" ht="18.75" spans="1:12">
      <c r="A10" s="4" t="s">
        <v>11</v>
      </c>
      <c r="B10" s="5" t="s">
        <v>23</v>
      </c>
      <c r="C10" s="3">
        <v>55</v>
      </c>
      <c r="D10" s="3">
        <v>32</v>
      </c>
      <c r="E10" s="6">
        <v>35</v>
      </c>
      <c r="F10" s="7">
        <v>25</v>
      </c>
      <c r="G10" s="3">
        <v>32</v>
      </c>
      <c r="H10" s="3">
        <v>55</v>
      </c>
      <c r="I10" s="10">
        <f t="shared" si="0"/>
        <v>234</v>
      </c>
      <c r="J10" s="11">
        <f t="shared" si="1"/>
        <v>39</v>
      </c>
      <c r="K10" s="12">
        <f t="shared" si="2"/>
        <v>22</v>
      </c>
      <c r="L10" s="3" t="s">
        <v>24</v>
      </c>
    </row>
    <row r="11" ht="18.75" spans="1:12">
      <c r="A11" s="4" t="s">
        <v>11</v>
      </c>
      <c r="B11" s="5" t="s">
        <v>25</v>
      </c>
      <c r="C11" s="3" t="s">
        <v>15</v>
      </c>
      <c r="D11" s="3" t="s">
        <v>15</v>
      </c>
      <c r="E11" s="6" t="s">
        <v>15</v>
      </c>
      <c r="F11" s="7" t="s">
        <v>15</v>
      </c>
      <c r="G11" s="3" t="s">
        <v>15</v>
      </c>
      <c r="H11" s="3" t="s">
        <v>15</v>
      </c>
      <c r="I11" s="10">
        <f t="shared" si="0"/>
        <v>0</v>
      </c>
      <c r="J11" s="11">
        <f t="shared" si="1"/>
        <v>0</v>
      </c>
      <c r="K11" s="12">
        <f t="shared" si="2"/>
        <v>38</v>
      </c>
      <c r="L11" s="3" t="s">
        <v>16</v>
      </c>
    </row>
    <row r="12" ht="18.75" spans="1:12">
      <c r="A12" s="4" t="s">
        <v>11</v>
      </c>
      <c r="B12" s="5" t="s">
        <v>26</v>
      </c>
      <c r="C12" s="3">
        <v>60</v>
      </c>
      <c r="D12" s="3">
        <v>49</v>
      </c>
      <c r="E12" s="6">
        <v>55</v>
      </c>
      <c r="F12" s="7">
        <v>58</v>
      </c>
      <c r="G12" s="3">
        <v>49</v>
      </c>
      <c r="H12" s="3">
        <v>60</v>
      </c>
      <c r="I12" s="10">
        <f t="shared" si="0"/>
        <v>331</v>
      </c>
      <c r="J12" s="11">
        <f t="shared" si="1"/>
        <v>55.1666666666667</v>
      </c>
      <c r="K12" s="12">
        <f t="shared" si="2"/>
        <v>3</v>
      </c>
      <c r="L12" s="3" t="s">
        <v>13</v>
      </c>
    </row>
    <row r="13" ht="18.75" spans="1:12">
      <c r="A13" s="4" t="s">
        <v>11</v>
      </c>
      <c r="B13" s="5" t="s">
        <v>27</v>
      </c>
      <c r="C13" s="3">
        <v>45</v>
      </c>
      <c r="D13" s="3">
        <v>39</v>
      </c>
      <c r="E13" s="6">
        <v>39</v>
      </c>
      <c r="F13" s="7">
        <v>45</v>
      </c>
      <c r="G13" s="3">
        <v>39</v>
      </c>
      <c r="H13" s="3">
        <v>45</v>
      </c>
      <c r="I13" s="10">
        <f t="shared" si="0"/>
        <v>252</v>
      </c>
      <c r="J13" s="11">
        <f t="shared" ref="J13:J23" si="3">AVERAGE(I13/6)</f>
        <v>42</v>
      </c>
      <c r="K13" s="12">
        <f t="shared" si="2"/>
        <v>16</v>
      </c>
      <c r="L13" s="3" t="s">
        <v>13</v>
      </c>
    </row>
    <row r="14" ht="18.75" spans="1:12">
      <c r="A14" s="4" t="s">
        <v>11</v>
      </c>
      <c r="B14" s="5" t="s">
        <v>28</v>
      </c>
      <c r="C14" s="3">
        <v>50</v>
      </c>
      <c r="D14" s="3">
        <v>42</v>
      </c>
      <c r="E14" s="6">
        <v>45</v>
      </c>
      <c r="F14" s="7">
        <v>50</v>
      </c>
      <c r="G14" s="3">
        <v>42</v>
      </c>
      <c r="H14" s="3">
        <v>50</v>
      </c>
      <c r="I14" s="10">
        <f t="shared" si="0"/>
        <v>279</v>
      </c>
      <c r="J14" s="11">
        <f t="shared" si="3"/>
        <v>46.5</v>
      </c>
      <c r="K14" s="12">
        <f t="shared" si="2"/>
        <v>8</v>
      </c>
      <c r="L14" s="3" t="s">
        <v>13</v>
      </c>
    </row>
    <row r="15" ht="18.75" spans="1:12">
      <c r="A15" s="4" t="s">
        <v>11</v>
      </c>
      <c r="B15" s="5" t="s">
        <v>29</v>
      </c>
      <c r="C15" s="3">
        <v>49</v>
      </c>
      <c r="D15" s="3">
        <v>40</v>
      </c>
      <c r="E15" s="6">
        <v>40</v>
      </c>
      <c r="F15" s="7">
        <v>51</v>
      </c>
      <c r="G15" s="3">
        <v>40</v>
      </c>
      <c r="H15" s="3">
        <v>49</v>
      </c>
      <c r="I15" s="10">
        <f t="shared" si="0"/>
        <v>269</v>
      </c>
      <c r="J15" s="11">
        <f t="shared" si="3"/>
        <v>44.8333333333333</v>
      </c>
      <c r="K15" s="12">
        <f t="shared" si="2"/>
        <v>9</v>
      </c>
      <c r="L15" s="3" t="s">
        <v>13</v>
      </c>
    </row>
    <row r="16" ht="18.75" spans="1:12">
      <c r="A16" s="4" t="s">
        <v>11</v>
      </c>
      <c r="B16" s="5" t="s">
        <v>30</v>
      </c>
      <c r="C16" s="3">
        <v>46</v>
      </c>
      <c r="D16" s="3">
        <v>41</v>
      </c>
      <c r="E16" s="6">
        <v>39</v>
      </c>
      <c r="F16" s="7">
        <v>52</v>
      </c>
      <c r="G16" s="3">
        <v>41</v>
      </c>
      <c r="H16" s="3">
        <v>46</v>
      </c>
      <c r="I16" s="10">
        <f t="shared" si="0"/>
        <v>265</v>
      </c>
      <c r="J16" s="11">
        <f t="shared" si="3"/>
        <v>44.1666666666667</v>
      </c>
      <c r="K16" s="12">
        <f t="shared" si="2"/>
        <v>10</v>
      </c>
      <c r="L16" s="3" t="s">
        <v>13</v>
      </c>
    </row>
    <row r="17" ht="18.75" spans="1:12">
      <c r="A17" s="4" t="s">
        <v>11</v>
      </c>
      <c r="B17" s="5" t="s">
        <v>31</v>
      </c>
      <c r="C17" s="3" t="s">
        <v>15</v>
      </c>
      <c r="D17" s="3">
        <v>30</v>
      </c>
      <c r="E17" s="6">
        <v>20</v>
      </c>
      <c r="F17" s="7">
        <v>24</v>
      </c>
      <c r="G17" s="3">
        <v>30</v>
      </c>
      <c r="H17" s="3" t="s">
        <v>15</v>
      </c>
      <c r="I17" s="10">
        <f t="shared" ref="I17:I28" si="4">SUM(C17:H17)</f>
        <v>104</v>
      </c>
      <c r="J17" s="11">
        <f t="shared" si="3"/>
        <v>17.3333333333333</v>
      </c>
      <c r="K17" s="12">
        <f t="shared" si="2"/>
        <v>35</v>
      </c>
      <c r="L17" s="3" t="s">
        <v>16</v>
      </c>
    </row>
    <row r="18" ht="18.75" spans="1:12">
      <c r="A18" s="4" t="s">
        <v>11</v>
      </c>
      <c r="B18" s="5" t="s">
        <v>32</v>
      </c>
      <c r="C18" s="3">
        <v>45</v>
      </c>
      <c r="D18" s="3" t="s">
        <v>15</v>
      </c>
      <c r="E18" s="6" t="s">
        <v>15</v>
      </c>
      <c r="F18" s="7" t="s">
        <v>15</v>
      </c>
      <c r="G18" s="3" t="s">
        <v>15</v>
      </c>
      <c r="H18" s="3">
        <v>45</v>
      </c>
      <c r="I18" s="10">
        <f t="shared" si="4"/>
        <v>90</v>
      </c>
      <c r="J18" s="11">
        <f t="shared" si="3"/>
        <v>15</v>
      </c>
      <c r="K18" s="12">
        <f t="shared" si="2"/>
        <v>36</v>
      </c>
      <c r="L18" s="3" t="s">
        <v>13</v>
      </c>
    </row>
    <row r="19" ht="18.75" spans="1:12">
      <c r="A19" s="4" t="s">
        <v>11</v>
      </c>
      <c r="B19" s="5" t="s">
        <v>33</v>
      </c>
      <c r="C19" s="3">
        <v>45</v>
      </c>
      <c r="D19" s="3" t="s">
        <v>15</v>
      </c>
      <c r="E19" s="6" t="s">
        <v>15</v>
      </c>
      <c r="F19" s="7" t="s">
        <v>15</v>
      </c>
      <c r="G19" s="3" t="s">
        <v>15</v>
      </c>
      <c r="H19" s="3">
        <v>45</v>
      </c>
      <c r="I19" s="10">
        <f t="shared" si="4"/>
        <v>90</v>
      </c>
      <c r="J19" s="11">
        <f t="shared" si="3"/>
        <v>15</v>
      </c>
      <c r="K19" s="12">
        <f t="shared" si="2"/>
        <v>36</v>
      </c>
      <c r="L19" s="3" t="s">
        <v>16</v>
      </c>
    </row>
    <row r="20" ht="18.75" spans="1:12">
      <c r="A20" s="4" t="s">
        <v>11</v>
      </c>
      <c r="B20" s="5" t="s">
        <v>34</v>
      </c>
      <c r="C20" s="3" t="s">
        <v>15</v>
      </c>
      <c r="D20" s="3" t="s">
        <v>15</v>
      </c>
      <c r="E20" s="6" t="s">
        <v>15</v>
      </c>
      <c r="F20" s="7" t="s">
        <v>15</v>
      </c>
      <c r="G20" s="3" t="s">
        <v>15</v>
      </c>
      <c r="H20" s="3" t="s">
        <v>15</v>
      </c>
      <c r="I20" s="10">
        <f t="shared" si="4"/>
        <v>0</v>
      </c>
      <c r="J20" s="11">
        <f t="shared" si="3"/>
        <v>0</v>
      </c>
      <c r="K20" s="12">
        <f t="shared" si="2"/>
        <v>38</v>
      </c>
      <c r="L20" s="3" t="s">
        <v>16</v>
      </c>
    </row>
    <row r="21" ht="18.75" spans="1:12">
      <c r="A21" s="4" t="s">
        <v>11</v>
      </c>
      <c r="B21" s="5" t="s">
        <v>35</v>
      </c>
      <c r="C21" s="3">
        <v>35</v>
      </c>
      <c r="D21" s="3">
        <v>36</v>
      </c>
      <c r="E21" s="6">
        <v>39</v>
      </c>
      <c r="F21" s="7">
        <v>36</v>
      </c>
      <c r="G21" s="3">
        <v>36</v>
      </c>
      <c r="H21" s="3">
        <v>35</v>
      </c>
      <c r="I21" s="10">
        <f t="shared" si="4"/>
        <v>217</v>
      </c>
      <c r="J21" s="11">
        <f t="shared" si="3"/>
        <v>36.1666666666667</v>
      </c>
      <c r="K21" s="12">
        <f t="shared" si="2"/>
        <v>27</v>
      </c>
      <c r="L21" s="3" t="s">
        <v>13</v>
      </c>
    </row>
    <row r="22" ht="18.75" spans="1:12">
      <c r="A22" s="4" t="s">
        <v>11</v>
      </c>
      <c r="B22" s="5" t="s">
        <v>36</v>
      </c>
      <c r="C22" s="3" t="s">
        <v>15</v>
      </c>
      <c r="D22" s="3" t="s">
        <v>15</v>
      </c>
      <c r="E22" s="6" t="s">
        <v>15</v>
      </c>
      <c r="F22" s="7" t="s">
        <v>15</v>
      </c>
      <c r="G22" s="3" t="s">
        <v>15</v>
      </c>
      <c r="H22" s="3" t="s">
        <v>15</v>
      </c>
      <c r="I22" s="10">
        <f t="shared" si="4"/>
        <v>0</v>
      </c>
      <c r="J22" s="11">
        <f t="shared" si="3"/>
        <v>0</v>
      </c>
      <c r="K22" s="12">
        <f t="shared" si="2"/>
        <v>38</v>
      </c>
      <c r="L22" s="3" t="s">
        <v>16</v>
      </c>
    </row>
    <row r="23" ht="18.75" spans="1:12">
      <c r="A23" s="4" t="s">
        <v>11</v>
      </c>
      <c r="B23" s="5" t="s">
        <v>37</v>
      </c>
      <c r="C23" s="3">
        <v>41</v>
      </c>
      <c r="D23" s="3">
        <v>38</v>
      </c>
      <c r="E23" s="6">
        <v>35</v>
      </c>
      <c r="F23" s="7">
        <v>45</v>
      </c>
      <c r="G23" s="3">
        <v>38</v>
      </c>
      <c r="H23" s="3">
        <v>41</v>
      </c>
      <c r="I23" s="10">
        <f t="shared" si="4"/>
        <v>238</v>
      </c>
      <c r="J23" s="11">
        <f t="shared" si="3"/>
        <v>39.6666666666667</v>
      </c>
      <c r="K23" s="12">
        <f t="shared" si="2"/>
        <v>20</v>
      </c>
      <c r="L23" s="3" t="s">
        <v>13</v>
      </c>
    </row>
    <row r="24" ht="18.75" spans="1:12">
      <c r="A24" s="4" t="s">
        <v>11</v>
      </c>
      <c r="B24" s="5" t="s">
        <v>38</v>
      </c>
      <c r="C24" s="3">
        <v>25</v>
      </c>
      <c r="D24" s="3">
        <v>20</v>
      </c>
      <c r="E24" s="6">
        <v>10</v>
      </c>
      <c r="F24" s="7">
        <v>12</v>
      </c>
      <c r="G24" s="3">
        <v>20</v>
      </c>
      <c r="H24" s="3">
        <v>25</v>
      </c>
      <c r="I24" s="10">
        <f t="shared" si="4"/>
        <v>112</v>
      </c>
      <c r="J24" s="11">
        <f t="shared" ref="J24:J30" si="5">AVERAGE(I24/6)</f>
        <v>18.6666666666667</v>
      </c>
      <c r="K24" s="12">
        <f t="shared" si="2"/>
        <v>34</v>
      </c>
      <c r="L24" s="3" t="s">
        <v>16</v>
      </c>
    </row>
    <row r="25" ht="18.75" spans="1:12">
      <c r="A25" s="4" t="s">
        <v>11</v>
      </c>
      <c r="B25" s="5" t="s">
        <v>39</v>
      </c>
      <c r="C25" s="3">
        <v>36</v>
      </c>
      <c r="D25" s="3">
        <v>36</v>
      </c>
      <c r="E25" s="6">
        <v>36</v>
      </c>
      <c r="F25" s="7">
        <v>36</v>
      </c>
      <c r="G25" s="3">
        <v>36</v>
      </c>
      <c r="H25" s="3">
        <v>36</v>
      </c>
      <c r="I25" s="10">
        <f t="shared" si="4"/>
        <v>216</v>
      </c>
      <c r="J25" s="11">
        <f t="shared" si="5"/>
        <v>36</v>
      </c>
      <c r="K25" s="12">
        <f t="shared" si="2"/>
        <v>28</v>
      </c>
      <c r="L25" s="3" t="s">
        <v>13</v>
      </c>
    </row>
    <row r="26" ht="18.75" spans="1:12">
      <c r="A26" s="4" t="s">
        <v>11</v>
      </c>
      <c r="B26" s="5" t="s">
        <v>40</v>
      </c>
      <c r="C26" s="3">
        <v>39</v>
      </c>
      <c r="D26" s="3">
        <v>22</v>
      </c>
      <c r="E26" s="6">
        <v>39</v>
      </c>
      <c r="F26" s="7">
        <v>45</v>
      </c>
      <c r="G26" s="3">
        <v>22</v>
      </c>
      <c r="H26" s="3">
        <v>39</v>
      </c>
      <c r="I26" s="10">
        <f t="shared" si="4"/>
        <v>206</v>
      </c>
      <c r="J26" s="11">
        <f t="shared" si="5"/>
        <v>34.3333333333333</v>
      </c>
      <c r="K26" s="12">
        <f t="shared" si="2"/>
        <v>30</v>
      </c>
      <c r="L26" s="3" t="s">
        <v>24</v>
      </c>
    </row>
    <row r="27" ht="18.75" spans="1:12">
      <c r="A27" s="4" t="s">
        <v>11</v>
      </c>
      <c r="B27" s="5" t="s">
        <v>41</v>
      </c>
      <c r="C27" s="3">
        <v>35</v>
      </c>
      <c r="D27" s="3">
        <v>21</v>
      </c>
      <c r="E27" s="6">
        <v>20</v>
      </c>
      <c r="F27" s="7">
        <v>21</v>
      </c>
      <c r="G27" s="3">
        <v>21</v>
      </c>
      <c r="H27" s="3">
        <v>35</v>
      </c>
      <c r="I27" s="10">
        <f t="shared" si="4"/>
        <v>153</v>
      </c>
      <c r="J27" s="11">
        <f t="shared" si="5"/>
        <v>25.5</v>
      </c>
      <c r="K27" s="12">
        <f t="shared" si="2"/>
        <v>32</v>
      </c>
      <c r="L27" s="3" t="s">
        <v>42</v>
      </c>
    </row>
    <row r="28" ht="18.75" spans="1:12">
      <c r="A28" s="4" t="s">
        <v>11</v>
      </c>
      <c r="B28" s="5" t="s">
        <v>43</v>
      </c>
      <c r="C28" s="3">
        <v>22</v>
      </c>
      <c r="D28" s="3">
        <v>20</v>
      </c>
      <c r="E28" s="6">
        <v>19</v>
      </c>
      <c r="F28" s="7">
        <v>20</v>
      </c>
      <c r="G28" s="3">
        <v>20</v>
      </c>
      <c r="H28" s="3">
        <v>22</v>
      </c>
      <c r="I28" s="10">
        <f t="shared" si="4"/>
        <v>123</v>
      </c>
      <c r="J28" s="11">
        <f t="shared" si="5"/>
        <v>20.5</v>
      </c>
      <c r="K28" s="12">
        <f t="shared" si="2"/>
        <v>33</v>
      </c>
      <c r="L28" s="3" t="s">
        <v>16</v>
      </c>
    </row>
    <row r="29" ht="18.75" spans="1:12">
      <c r="A29" s="4" t="s">
        <v>11</v>
      </c>
      <c r="B29" s="5" t="s">
        <v>44</v>
      </c>
      <c r="C29" s="3">
        <v>36</v>
      </c>
      <c r="D29" s="3">
        <v>35</v>
      </c>
      <c r="E29" s="6">
        <v>38</v>
      </c>
      <c r="F29" s="7">
        <v>35</v>
      </c>
      <c r="G29" s="3">
        <v>35</v>
      </c>
      <c r="H29" s="3">
        <v>36</v>
      </c>
      <c r="I29" s="10">
        <f t="shared" ref="I29:I36" si="6">SUM(C29:H29)</f>
        <v>215</v>
      </c>
      <c r="J29" s="11">
        <f t="shared" si="5"/>
        <v>35.8333333333333</v>
      </c>
      <c r="K29" s="12">
        <f t="shared" si="2"/>
        <v>29</v>
      </c>
      <c r="L29" s="3" t="s">
        <v>13</v>
      </c>
    </row>
    <row r="30" ht="18.75" spans="1:12">
      <c r="A30" s="4" t="s">
        <v>11</v>
      </c>
      <c r="B30" s="5" t="s">
        <v>45</v>
      </c>
      <c r="C30" s="3" t="s">
        <v>15</v>
      </c>
      <c r="D30" s="3" t="s">
        <v>15</v>
      </c>
      <c r="E30" s="6" t="s">
        <v>15</v>
      </c>
      <c r="F30" s="7" t="s">
        <v>15</v>
      </c>
      <c r="G30" s="3" t="s">
        <v>15</v>
      </c>
      <c r="H30" s="3" t="s">
        <v>15</v>
      </c>
      <c r="I30" s="10">
        <f t="shared" si="6"/>
        <v>0</v>
      </c>
      <c r="J30" s="11">
        <f t="shared" si="5"/>
        <v>0</v>
      </c>
      <c r="K30" s="12">
        <f t="shared" si="2"/>
        <v>38</v>
      </c>
      <c r="L30" s="3" t="s">
        <v>16</v>
      </c>
    </row>
    <row r="31" ht="18.75" spans="1:12">
      <c r="A31" s="4" t="s">
        <v>11</v>
      </c>
      <c r="B31" s="5" t="s">
        <v>46</v>
      </c>
      <c r="C31" s="3">
        <v>56</v>
      </c>
      <c r="D31" s="3">
        <v>45</v>
      </c>
      <c r="E31" s="6">
        <v>55</v>
      </c>
      <c r="F31" s="7">
        <v>51</v>
      </c>
      <c r="G31" s="3">
        <v>65</v>
      </c>
      <c r="H31" s="3">
        <v>56</v>
      </c>
      <c r="I31" s="10">
        <f t="shared" si="6"/>
        <v>328</v>
      </c>
      <c r="J31" s="11">
        <f t="shared" ref="J31:J46" si="7">AVERAGE(I31/6)</f>
        <v>54.6666666666667</v>
      </c>
      <c r="K31" s="12">
        <f t="shared" si="2"/>
        <v>4</v>
      </c>
      <c r="L31" s="3" t="s">
        <v>13</v>
      </c>
    </row>
    <row r="32" ht="18.75" spans="1:12">
      <c r="A32" s="4" t="s">
        <v>11</v>
      </c>
      <c r="B32" s="5" t="s">
        <v>47</v>
      </c>
      <c r="C32" s="3" t="s">
        <v>15</v>
      </c>
      <c r="D32" s="3" t="s">
        <v>15</v>
      </c>
      <c r="E32" s="6" t="s">
        <v>15</v>
      </c>
      <c r="F32" s="7" t="s">
        <v>15</v>
      </c>
      <c r="G32" s="3" t="s">
        <v>15</v>
      </c>
      <c r="H32" s="3" t="s">
        <v>15</v>
      </c>
      <c r="I32" s="10">
        <f t="shared" si="6"/>
        <v>0</v>
      </c>
      <c r="J32" s="11">
        <f t="shared" si="7"/>
        <v>0</v>
      </c>
      <c r="K32" s="12">
        <f t="shared" si="2"/>
        <v>38</v>
      </c>
      <c r="L32" s="3" t="s">
        <v>16</v>
      </c>
    </row>
    <row r="33" ht="18.75" spans="1:12">
      <c r="A33" s="4" t="s">
        <v>11</v>
      </c>
      <c r="B33" s="5" t="s">
        <v>48</v>
      </c>
      <c r="C33" s="3">
        <v>57</v>
      </c>
      <c r="D33" s="3">
        <v>45</v>
      </c>
      <c r="E33" s="6">
        <v>51</v>
      </c>
      <c r="F33" s="7">
        <v>52</v>
      </c>
      <c r="G33" s="3">
        <v>45</v>
      </c>
      <c r="H33" s="3">
        <v>57</v>
      </c>
      <c r="I33" s="10">
        <f t="shared" si="6"/>
        <v>307</v>
      </c>
      <c r="J33" s="11">
        <f t="shared" si="7"/>
        <v>51.1666666666667</v>
      </c>
      <c r="K33" s="12">
        <f t="shared" si="2"/>
        <v>5</v>
      </c>
      <c r="L33" s="3" t="s">
        <v>13</v>
      </c>
    </row>
    <row r="34" ht="18.75" spans="1:12">
      <c r="A34" s="4" t="s">
        <v>11</v>
      </c>
      <c r="B34" s="5" t="s">
        <v>49</v>
      </c>
      <c r="C34" s="3">
        <v>55</v>
      </c>
      <c r="D34" s="3">
        <v>41</v>
      </c>
      <c r="E34" s="6">
        <v>50</v>
      </c>
      <c r="F34" s="7">
        <v>60</v>
      </c>
      <c r="G34" s="3">
        <v>41</v>
      </c>
      <c r="H34" s="3">
        <v>55</v>
      </c>
      <c r="I34" s="10">
        <f t="shared" si="6"/>
        <v>302</v>
      </c>
      <c r="J34" s="11">
        <f t="shared" si="7"/>
        <v>50.3333333333333</v>
      </c>
      <c r="K34" s="12">
        <f t="shared" si="2"/>
        <v>6</v>
      </c>
      <c r="L34" s="3" t="s">
        <v>13</v>
      </c>
    </row>
    <row r="35" ht="18.75" spans="1:12">
      <c r="A35" s="4" t="s">
        <v>11</v>
      </c>
      <c r="B35" s="5" t="s">
        <v>50</v>
      </c>
      <c r="C35" s="3" t="s">
        <v>15</v>
      </c>
      <c r="D35" s="3" t="s">
        <v>15</v>
      </c>
      <c r="E35" s="7" t="s">
        <v>15</v>
      </c>
      <c r="F35" s="7" t="s">
        <v>15</v>
      </c>
      <c r="G35" s="3" t="s">
        <v>15</v>
      </c>
      <c r="H35" s="3" t="s">
        <v>15</v>
      </c>
      <c r="I35" s="10">
        <f t="shared" si="6"/>
        <v>0</v>
      </c>
      <c r="J35" s="11">
        <f t="shared" si="7"/>
        <v>0</v>
      </c>
      <c r="K35" s="12">
        <f t="shared" si="2"/>
        <v>38</v>
      </c>
      <c r="L35" s="3" t="s">
        <v>16</v>
      </c>
    </row>
    <row r="36" ht="18.75" spans="1:12">
      <c r="A36" s="4" t="s">
        <v>11</v>
      </c>
      <c r="B36" s="5" t="s">
        <v>51</v>
      </c>
      <c r="C36" s="3" t="s">
        <v>15</v>
      </c>
      <c r="D36" s="3" t="s">
        <v>15</v>
      </c>
      <c r="E36" s="7" t="s">
        <v>15</v>
      </c>
      <c r="F36" s="7" t="s">
        <v>15</v>
      </c>
      <c r="G36" s="3" t="s">
        <v>15</v>
      </c>
      <c r="H36" s="3" t="s">
        <v>15</v>
      </c>
      <c r="I36" s="10">
        <f t="shared" si="6"/>
        <v>0</v>
      </c>
      <c r="J36" s="11">
        <f t="shared" si="7"/>
        <v>0</v>
      </c>
      <c r="K36" s="12">
        <f t="shared" si="2"/>
        <v>38</v>
      </c>
      <c r="L36" s="3" t="s">
        <v>16</v>
      </c>
    </row>
    <row r="37" ht="18.75" spans="1:12">
      <c r="A37" s="4" t="s">
        <v>11</v>
      </c>
      <c r="B37" s="5" t="s">
        <v>52</v>
      </c>
      <c r="C37" s="3">
        <v>36</v>
      </c>
      <c r="D37" s="3">
        <v>32</v>
      </c>
      <c r="E37" s="7">
        <v>32</v>
      </c>
      <c r="F37" s="7">
        <v>30</v>
      </c>
      <c r="G37" s="3">
        <v>32</v>
      </c>
      <c r="H37" s="3">
        <v>36</v>
      </c>
      <c r="I37" s="10">
        <f t="shared" ref="I37:I46" si="8">SUM(C37:H37)</f>
        <v>198</v>
      </c>
      <c r="J37" s="11">
        <f t="shared" si="7"/>
        <v>33</v>
      </c>
      <c r="K37" s="12">
        <f t="shared" si="2"/>
        <v>31</v>
      </c>
      <c r="L37" s="3" t="s">
        <v>42</v>
      </c>
    </row>
    <row r="38" ht="18.75" spans="1:12">
      <c r="A38" s="4" t="s">
        <v>11</v>
      </c>
      <c r="B38" s="5" t="s">
        <v>53</v>
      </c>
      <c r="C38" s="3">
        <v>39</v>
      </c>
      <c r="D38" s="3">
        <v>37</v>
      </c>
      <c r="E38" s="7">
        <v>39</v>
      </c>
      <c r="F38" s="7">
        <v>37</v>
      </c>
      <c r="G38" s="3">
        <v>37</v>
      </c>
      <c r="H38" s="3">
        <v>39</v>
      </c>
      <c r="I38" s="10">
        <f t="shared" si="8"/>
        <v>228</v>
      </c>
      <c r="J38" s="11">
        <f t="shared" si="7"/>
        <v>38</v>
      </c>
      <c r="K38" s="12">
        <f t="shared" si="2"/>
        <v>25</v>
      </c>
      <c r="L38" s="3" t="s">
        <v>13</v>
      </c>
    </row>
    <row r="39" ht="18.75" spans="1:12">
      <c r="A39" s="4" t="s">
        <v>11</v>
      </c>
      <c r="B39" s="5" t="s">
        <v>54</v>
      </c>
      <c r="C39" s="3">
        <v>45</v>
      </c>
      <c r="D39" s="3">
        <v>36</v>
      </c>
      <c r="E39" s="7">
        <v>38</v>
      </c>
      <c r="F39" s="7">
        <v>39</v>
      </c>
      <c r="G39" s="3">
        <v>36</v>
      </c>
      <c r="H39" s="3">
        <v>45</v>
      </c>
      <c r="I39" s="10">
        <f t="shared" si="8"/>
        <v>239</v>
      </c>
      <c r="J39" s="11">
        <f t="shared" si="7"/>
        <v>39.8333333333333</v>
      </c>
      <c r="K39" s="12">
        <f t="shared" si="2"/>
        <v>19</v>
      </c>
      <c r="L39" s="3" t="s">
        <v>13</v>
      </c>
    </row>
    <row r="40" ht="18.75" spans="1:12">
      <c r="A40" s="4" t="s">
        <v>11</v>
      </c>
      <c r="B40" s="5" t="s">
        <v>55</v>
      </c>
      <c r="C40" s="3">
        <v>45</v>
      </c>
      <c r="D40" s="3">
        <v>35</v>
      </c>
      <c r="E40" s="7">
        <v>37</v>
      </c>
      <c r="F40" s="7">
        <v>40</v>
      </c>
      <c r="G40" s="3">
        <v>35</v>
      </c>
      <c r="H40" s="3">
        <v>45</v>
      </c>
      <c r="I40" s="10">
        <f t="shared" si="8"/>
        <v>237</v>
      </c>
      <c r="J40" s="11">
        <f t="shared" si="7"/>
        <v>39.5</v>
      </c>
      <c r="K40" s="12">
        <f t="shared" si="2"/>
        <v>21</v>
      </c>
      <c r="L40" s="3" t="s">
        <v>13</v>
      </c>
    </row>
    <row r="41" ht="18.75" spans="1:12">
      <c r="A41" s="4" t="s">
        <v>11</v>
      </c>
      <c r="B41" s="5" t="s">
        <v>56</v>
      </c>
      <c r="C41" s="3">
        <v>55</v>
      </c>
      <c r="D41" s="3">
        <v>36</v>
      </c>
      <c r="E41" s="7">
        <v>38</v>
      </c>
      <c r="F41" s="7">
        <v>41</v>
      </c>
      <c r="G41" s="3">
        <v>36</v>
      </c>
      <c r="H41" s="3">
        <v>55</v>
      </c>
      <c r="I41" s="10">
        <f t="shared" si="8"/>
        <v>261</v>
      </c>
      <c r="J41" s="11">
        <f t="shared" si="7"/>
        <v>43.5</v>
      </c>
      <c r="K41" s="12">
        <f t="shared" si="2"/>
        <v>11</v>
      </c>
      <c r="L41" s="3" t="s">
        <v>13</v>
      </c>
    </row>
    <row r="42" ht="18.75" spans="1:12">
      <c r="A42" s="4" t="s">
        <v>11</v>
      </c>
      <c r="B42" s="5" t="s">
        <v>57</v>
      </c>
      <c r="C42" s="3">
        <v>51</v>
      </c>
      <c r="D42" s="3">
        <v>35</v>
      </c>
      <c r="E42" s="7">
        <v>39</v>
      </c>
      <c r="F42" s="7">
        <v>36</v>
      </c>
      <c r="G42" s="3">
        <v>35</v>
      </c>
      <c r="H42" s="3">
        <v>51</v>
      </c>
      <c r="I42" s="10">
        <f t="shared" si="8"/>
        <v>247</v>
      </c>
      <c r="J42" s="11">
        <f t="shared" si="7"/>
        <v>41.1666666666667</v>
      </c>
      <c r="K42" s="12">
        <f t="shared" si="2"/>
        <v>17</v>
      </c>
      <c r="L42" s="3" t="s">
        <v>13</v>
      </c>
    </row>
    <row r="43" ht="18.75" spans="1:12">
      <c r="A43" s="4" t="s">
        <v>11</v>
      </c>
      <c r="B43" s="5" t="s">
        <v>58</v>
      </c>
      <c r="C43" s="3">
        <v>39</v>
      </c>
      <c r="D43" s="3">
        <v>39</v>
      </c>
      <c r="E43" s="7">
        <v>36</v>
      </c>
      <c r="F43" s="7">
        <v>32</v>
      </c>
      <c r="G43" s="3">
        <v>39</v>
      </c>
      <c r="H43" s="3">
        <v>39</v>
      </c>
      <c r="I43" s="10">
        <f t="shared" si="8"/>
        <v>224</v>
      </c>
      <c r="J43" s="11">
        <f t="shared" si="7"/>
        <v>37.3333333333333</v>
      </c>
      <c r="K43" s="12">
        <f t="shared" si="2"/>
        <v>26</v>
      </c>
      <c r="L43" s="3" t="s">
        <v>13</v>
      </c>
    </row>
    <row r="44" ht="18.75" spans="1:12">
      <c r="A44" s="4" t="s">
        <v>11</v>
      </c>
      <c r="B44" s="5" t="s">
        <v>59</v>
      </c>
      <c r="C44" s="3">
        <v>45</v>
      </c>
      <c r="D44" s="3">
        <v>35</v>
      </c>
      <c r="E44" s="7">
        <v>38</v>
      </c>
      <c r="F44" s="7">
        <v>36</v>
      </c>
      <c r="G44" s="3">
        <v>35</v>
      </c>
      <c r="H44" s="3">
        <v>45</v>
      </c>
      <c r="I44" s="10">
        <f t="shared" si="8"/>
        <v>234</v>
      </c>
      <c r="J44" s="11">
        <f t="shared" si="7"/>
        <v>39</v>
      </c>
      <c r="K44" s="12">
        <f t="shared" si="2"/>
        <v>22</v>
      </c>
      <c r="L44" s="3" t="s">
        <v>13</v>
      </c>
    </row>
    <row r="45" ht="18.75" spans="1:12">
      <c r="A45" s="4" t="s">
        <v>11</v>
      </c>
      <c r="B45" s="5" t="s">
        <v>60</v>
      </c>
      <c r="C45" s="3">
        <v>46</v>
      </c>
      <c r="D45" s="3">
        <v>35</v>
      </c>
      <c r="E45" s="7">
        <v>36</v>
      </c>
      <c r="F45" s="7">
        <v>45</v>
      </c>
      <c r="G45" s="3">
        <v>35</v>
      </c>
      <c r="H45" s="3">
        <v>46</v>
      </c>
      <c r="I45" s="10">
        <f t="shared" si="8"/>
        <v>243</v>
      </c>
      <c r="J45" s="11">
        <f t="shared" si="7"/>
        <v>40.5</v>
      </c>
      <c r="K45" s="12">
        <f t="shared" si="2"/>
        <v>18</v>
      </c>
      <c r="L45" s="3" t="s">
        <v>13</v>
      </c>
    </row>
    <row r="46" ht="18.75" spans="1:12">
      <c r="A46" s="4" t="s">
        <v>11</v>
      </c>
      <c r="B46" s="5" t="s">
        <v>61</v>
      </c>
      <c r="C46" s="3">
        <v>49</v>
      </c>
      <c r="D46" s="3">
        <v>39</v>
      </c>
      <c r="E46" s="7">
        <v>39</v>
      </c>
      <c r="F46" s="9">
        <v>43</v>
      </c>
      <c r="G46" s="3">
        <v>39</v>
      </c>
      <c r="H46" s="3">
        <v>49</v>
      </c>
      <c r="I46" s="10">
        <f t="shared" si="8"/>
        <v>258</v>
      </c>
      <c r="J46" s="11">
        <f t="shared" si="7"/>
        <v>43</v>
      </c>
      <c r="K46" s="12">
        <f t="shared" si="2"/>
        <v>12</v>
      </c>
      <c r="L46" s="3" t="s">
        <v>13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6A</dc:creator>
  <cp:lastModifiedBy>ADIAVANTI</cp:lastModifiedBy>
  <dcterms:created xsi:type="dcterms:W3CDTF">2022-11-22T16:56:00Z</dcterms:created>
  <dcterms:modified xsi:type="dcterms:W3CDTF">2023-06-09T15:04:10Z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0AFA1018C2EC4A0AB7E49521216641FA</vt:lpwstr>
  </property>
  <property fmtid="{D5CDD505-2E9C-101B-9397-08002B2CF9AE}" pid="3" name="KSOProductBuildVer">
    <vt:lpwstr>1033-11.2.0.11537</vt:lpwstr>
  </property>
</Properties>
</file>